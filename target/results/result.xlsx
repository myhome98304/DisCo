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88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<sst xmlns="http://schemas.openxmlformats.org/spreadsheetml/2006/main" count="20" uniqueCount="14">
  <si>
    <t>node size
(K)</t>
  </si>
  <si>
    <t>size
(GB)</t>
  </si>
  <si>
    <t>nonzeros
(M)</t>
  </si>
  <si>
    <t>preProcess
(sec)</t>
  </si>
  <si>
    <t>Split by 
CrossAssociation</t>
  </si>
  <si>
    <t>Split by 
Random</t>
  </si>
  <si>
    <t>rowSet:</t>
  </si>
  <si>
    <t>Size:</t>
  </si>
  <si>
    <t>colSet:</t>
  </si>
  <si>
    <t>Cross
Association</t>
  </si>
  <si>
    <t>Column Cluster</t>
  </si>
  <si>
    <t>Row
Cluster</t>
  </si>
  <si>
    <t>Random
Split</t>
  </si>
  <si>
    <t>Row 
Cluster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</si>
</sst>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1"/>
      <color rgb="FF000000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나눔고딕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Split by 
CrossAssociation</c:v>
                </c:pt>
              </c:strCache>
            </c:strRef>
          </c:tx>
          <c:spPr>
            <a:solidFill>
              <a:srgbClr val="000000"/>
            </a:solidFill>
            <a:ln w="28800">
              <a:solidFill>
                <a:srgbClr val="000000"/>
              </a:solidFill>
              <a:round/>
            </a:ln>
          </c:spPr>
          <c:marker>
            <c:size val="7"/>
          </c:marker>
          <c:xVal>
            <c:numRef>
              <c:f>Sheet1!$A$10:$A$15</c:f>
              <c:numCache>
                <c:formatCode>General</c:formatCode>
                <c:ptCount val="6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</c:numCache>
            </c:numRef>
          </c:xVal>
          <c:yVal>
            <c:numRef>
              <c:f>Sheet1!$E$10:$E$15</c:f>
              <c:numCache>
                <c:formatCode>General</c:formatCode>
                <c:ptCount val="6"/>
                <c:pt idx="0">
                  <c:v>428</c:v>
                </c:pt>
                <c:pt idx="1">
                  <c:v>1221</c:v>
                </c:pt>
                <c:pt idx="2">
                  <c:v>1879</c:v>
                </c:pt>
                <c:pt idx="3">
                  <c:v>2364</c:v>
                </c:pt>
                <c:pt idx="4">
                  <c:v>5215</c:v>
                </c:pt>
                <c:pt idx="5">
                  <c:v>1100</c:v>
                </c:pt>
              </c:numCache>
            </c:numRef>
          </c:yVal>
        </c:ser>
        <c:ser>
          <c:idx val="1"/>
          <c:order val="1"/>
          <c:tx>
            <c:strRef>
              <c:f>Sheet1!$F$9</c:f>
              <c:strCache>
                <c:ptCount val="1"/>
                <c:pt idx="0">
                  <c:v>Split by 
Random</c:v>
                </c:pt>
              </c:strCache>
            </c:strRef>
          </c:tx>
          <c:spPr>
            <a:solidFill>
              <a:srgbClr val="000000"/>
            </a:solidFill>
            <a:ln w="28800">
              <a:solidFill>
                <a:srgbClr val="000000"/>
              </a:solidFill>
              <a:custDash/>
              <a:round/>
            </a:ln>
          </c:spPr>
          <c:marker>
            <c:size val="7"/>
          </c:marker>
          <c:xVal>
            <c:numRef>
              <c:f>Sheet1!$A$10:$A$15</c:f>
              <c:numCache>
                <c:formatCode>General</c:formatCode>
                <c:ptCount val="6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</c:numCache>
            </c:numRef>
          </c:xVal>
          <c:yVal>
            <c:numRef>
              <c:f>Sheet1!$F$10:$F$15</c:f>
              <c:numCache>
                <c:formatCode>General</c:formatCode>
                <c:ptCount val="6"/>
                <c:pt idx="0">
                  <c:v>1660</c:v>
                </c:pt>
                <c:pt idx="1">
                  <c:v>1198</c:v>
                </c:pt>
                <c:pt idx="2">
                  <c:v>1262</c:v>
                </c:pt>
                <c:pt idx="3">
                  <c:v>1878</c:v>
                </c:pt>
                <c:pt idx="4">
                  <c:v>3766</c:v>
                </c:pt>
                <c:pt idx="5">
                  <c:v>11769</c:v>
                </c:pt>
              </c:numCache>
            </c:numRef>
          </c:yVal>
        </c:ser>
        <c:axId val="8135667"/>
        <c:axId val="98603475"/>
      </c:scatterChart>
      <c:valAx>
        <c:axId val="8135667"/>
        <c:scaling>
          <c:orientation val="minMax"/>
        </c:scaling>
        <c:delete val="0"/>
        <c:axPos val="b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sz="900">
                    <a:latin typeface="Arial"/>
                  </a:rPr>
                  <a:t># of Nodes(K)</a:t>
                </a:r>
              </a:p>
            </c:rich>
          </c:tx>
          <c:layout/>
        </c:title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crossAx val="98603475"/>
        <c:crosses val="autoZero"/>
      </c:valAx>
      <c:valAx>
        <c:axId val="9860347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sz="900">
                    <a:latin typeface="Arial"/>
                  </a:rPr>
                  <a:t>Seconds</a:t>
                </a:r>
              </a:p>
            </c:rich>
          </c:tx>
          <c:layout/>
        </c:title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crossAx val="8135667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36360</xdr:colOff>
      <xdr:row>8</xdr:row>
      <xdr:rowOff>36000</xdr:rowOff>
    </xdr:from>
    <xdr:to>
      <xdr:col>13</xdr:col>
      <xdr:colOff>511200</xdr:colOff>
      <xdr:row>23</xdr:row>
      <xdr:rowOff>31320</xdr:rowOff>
    </xdr:to>
    <xdr:graphicFrame>
      <xdr:nvGraphicFramePr>
        <xdr:cNvPr id="0" name=""/>
        <xdr:cNvGraphicFramePr/>
      </xdr:nvGraphicFramePr>
      <xdr:xfrm>
        <a:off x="5856120" y="17121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6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RowHeight="16.5"/>
  <cols>
    <col collapsed="false" hidden="false" max="3" min="1" style="1" width="9.63090128755365"/>
    <col collapsed="false" hidden="false" max="4" min="4" style="1" width="10.5021459227468"/>
    <col collapsed="false" hidden="false" max="6" min="5" style="1" width="14.9957081545064"/>
    <col collapsed="false" hidden="false" max="1025" min="7" style="1" width="9"/>
  </cols>
  <sheetData>
    <row r="1" customFormat="false" ht="16.5" hidden="false" customHeight="false" outlineLevel="0" collapsed="false">
      <c r="A1" s="0"/>
      <c r="B1" s="0"/>
      <c r="C1" s="0"/>
      <c r="D1" s="0"/>
      <c r="E1" s="0"/>
      <c r="F1" s="0"/>
    </row>
    <row r="2" customFormat="false" ht="16.5" hidden="false" customHeight="false" outlineLevel="0" collapsed="false">
      <c r="A2" s="0"/>
      <c r="B2" s="0"/>
      <c r="C2" s="0"/>
      <c r="D2" s="0"/>
      <c r="E2" s="0"/>
      <c r="F2" s="0"/>
    </row>
    <row r="3" customFormat="false" ht="16.5" hidden="false" customHeight="false" outlineLevel="0" collapsed="false">
      <c r="A3" s="0"/>
      <c r="B3" s="0"/>
      <c r="C3" s="0"/>
      <c r="D3" s="0"/>
      <c r="E3" s="0"/>
      <c r="F3" s="0"/>
    </row>
    <row r="4" customFormat="false" ht="16.5" hidden="false" customHeight="false" outlineLevel="0" collapsed="false">
      <c r="A4" s="0"/>
      <c r="B4" s="0"/>
      <c r="C4" s="0"/>
      <c r="D4" s="0"/>
      <c r="E4" s="0"/>
      <c r="F4" s="0"/>
    </row>
    <row r="5" customFormat="false" ht="16.5" hidden="false" customHeight="false" outlineLevel="0" collapsed="false">
      <c r="A5" s="0"/>
      <c r="B5" s="0"/>
      <c r="C5" s="0"/>
      <c r="D5" s="0"/>
      <c r="E5" s="0"/>
      <c r="F5" s="0"/>
    </row>
    <row r="6" customFormat="false" ht="16.5" hidden="false" customHeight="false" outlineLevel="0" collapsed="false">
      <c r="A6" s="0"/>
      <c r="B6" s="0"/>
      <c r="C6" s="0"/>
      <c r="D6" s="0"/>
      <c r="E6" s="0"/>
      <c r="F6" s="0"/>
    </row>
    <row r="7" customFormat="false" ht="16.5" hidden="false" customHeight="false" outlineLevel="0" collapsed="false">
      <c r="A7" s="0"/>
      <c r="B7" s="0"/>
      <c r="C7" s="0"/>
      <c r="D7" s="0"/>
      <c r="E7" s="0"/>
      <c r="F7" s="0"/>
    </row>
    <row r="8" customFormat="false" ht="16.5" hidden="false" customHeight="false" outlineLevel="0" collapsed="false">
      <c r="A8" s="0"/>
      <c r="B8" s="0"/>
      <c r="C8" s="0"/>
      <c r="D8" s="0"/>
      <c r="E8" s="0"/>
      <c r="F8" s="0"/>
    </row>
    <row r="9" customFormat="false" ht="29.85" hidden="false" customHeight="false" outlineLevel="0" collapsed="false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</row>
    <row r="10" customFormat="false" ht="16.5" hidden="false" customHeight="false" outlineLevel="0" collapsed="false">
      <c r="A10" s="1" t="n">
        <v>10</v>
      </c>
      <c r="B10" s="1" t="n">
        <f aca="false">50811467/1024/1024/1024</f>
        <v>0.0473218662664294</v>
      </c>
      <c r="C10" s="1" t="n">
        <v>5.197696</v>
      </c>
      <c r="D10" s="1" t="n">
        <v>46</v>
      </c>
      <c r="E10" s="1" t="n">
        <v>428</v>
      </c>
      <c r="F10" s="1" t="n">
        <v>1660</v>
      </c>
    </row>
    <row r="11" customFormat="false" ht="16.5" hidden="false" customHeight="false" outlineLevel="0" collapsed="false">
      <c r="A11" s="1" t="n">
        <v>30</v>
      </c>
      <c r="B11" s="1" t="n">
        <f aca="false">527254723/1024/1024/1024</f>
        <v>0.491044226102531</v>
      </c>
      <c r="C11" s="1" t="n">
        <v>46.835825</v>
      </c>
      <c r="D11" s="1" t="n">
        <v>57</v>
      </c>
      <c r="E11" s="1" t="n">
        <v>1221</v>
      </c>
      <c r="F11" s="1" t="n">
        <v>1198</v>
      </c>
    </row>
    <row r="12" customFormat="false" ht="16.5" hidden="false" customHeight="false" outlineLevel="0" collapsed="false">
      <c r="A12" s="1" t="n">
        <v>50</v>
      </c>
      <c r="B12" s="1" t="n">
        <f aca="false">1503558594/1024/1024/1024</f>
        <v>1.40029806084931</v>
      </c>
      <c r="C12" s="1" t="n">
        <v>130.113106</v>
      </c>
      <c r="D12" s="1" t="n">
        <v>91</v>
      </c>
      <c r="E12" s="1" t="n">
        <v>1879</v>
      </c>
      <c r="F12" s="1" t="n">
        <v>1262</v>
      </c>
    </row>
    <row r="13" customFormat="false" ht="16.5" hidden="false" customHeight="false" outlineLevel="0" collapsed="false">
      <c r="A13" s="1" t="n">
        <v>100</v>
      </c>
      <c r="B13" s="1" t="n">
        <f aca="false">6130643881/1024/1024/1024</f>
        <v>5.70960704330355</v>
      </c>
      <c r="C13" s="1" t="n">
        <v>520.554666</v>
      </c>
      <c r="D13" s="1" t="n">
        <v>272</v>
      </c>
      <c r="E13" s="1" t="n">
        <v>2364</v>
      </c>
      <c r="F13" s="1" t="n">
        <v>1878</v>
      </c>
    </row>
    <row r="14" customFormat="false" ht="16.5" hidden="false" customHeight="false" outlineLevel="0" collapsed="false">
      <c r="A14" s="1" t="n">
        <v>200</v>
      </c>
      <c r="B14" s="1" t="n">
        <f aca="false">26837651594/1024/1024/1024</f>
        <v>24.9945107791573</v>
      </c>
      <c r="C14" s="1" t="n">
        <v>2082.343428</v>
      </c>
      <c r="D14" s="1" t="n">
        <v>1500</v>
      </c>
      <c r="E14" s="1" t="n">
        <v>5215</v>
      </c>
      <c r="F14" s="1" t="n">
        <v>3766</v>
      </c>
    </row>
    <row r="15" customFormat="false" ht="16.5" hidden="false" customHeight="false" outlineLevel="0" collapsed="false">
      <c r="A15" s="1" t="n">
        <v>400</v>
      </c>
      <c r="B15" s="1" t="n">
        <f aca="false">111991123502/1024/1024/1024</f>
        <v>104.299861473963</v>
      </c>
      <c r="C15" s="1" t="n">
        <v>8329.816715</v>
      </c>
      <c r="D15" s="1" t="n">
        <v>13005</v>
      </c>
      <c r="E15" s="1" t="n">
        <v>1100</v>
      </c>
      <c r="F15" s="1" t="n">
        <v>11769</v>
      </c>
      <c r="W15" s="1" t="s">
        <v>6</v>
      </c>
    </row>
    <row r="16" customFormat="false" ht="16.5" hidden="false" customHeight="false" outlineLevel="0" collapsed="false">
      <c r="F16" s="1" t="n">
        <f aca="false">F15/60</f>
        <v>196.15</v>
      </c>
      <c r="W16" s="1" t="s">
        <v>7</v>
      </c>
      <c r="X16" s="1" t="n">
        <v>17</v>
      </c>
    </row>
    <row r="17" customFormat="false" ht="16.5" hidden="false" customHeight="false" outlineLevel="0" collapsed="false">
      <c r="X17" s="1" t="n">
        <v>2373</v>
      </c>
      <c r="Y17" s="1" t="n">
        <v>3095</v>
      </c>
      <c r="Z17" s="1" t="n">
        <v>4285</v>
      </c>
      <c r="AA17" s="1" t="n">
        <v>4761</v>
      </c>
      <c r="AB17" s="1" t="n">
        <v>3571</v>
      </c>
      <c r="AC17" s="1" t="n">
        <v>3809</v>
      </c>
      <c r="AD17" s="1" t="n">
        <v>4523</v>
      </c>
      <c r="AE17" s="1" t="n">
        <v>4047</v>
      </c>
      <c r="AF17" s="1" t="n">
        <v>4046</v>
      </c>
      <c r="AG17" s="1" t="n">
        <v>2619</v>
      </c>
      <c r="AH17" s="1" t="n">
        <v>3333</v>
      </c>
      <c r="AI17" s="1" t="n">
        <v>2380</v>
      </c>
      <c r="AJ17" s="1" t="n">
        <v>2857</v>
      </c>
      <c r="AK17" s="1" t="n">
        <v>2620</v>
      </c>
      <c r="AL17" s="1" t="n">
        <v>679</v>
      </c>
      <c r="AM17" s="1" t="n">
        <v>690</v>
      </c>
      <c r="AN17" s="1" t="n">
        <v>302</v>
      </c>
    </row>
    <row r="18" customFormat="false" ht="13.8" hidden="false" customHeight="false" outlineLevel="0" collapsed="false">
      <c r="X18" s="1" t="n">
        <f aca="false">X17/50000</f>
        <v>0.04746</v>
      </c>
      <c r="Y18" s="1" t="n">
        <f aca="false">Y17/50000</f>
        <v>0.0619</v>
      </c>
      <c r="Z18" s="1" t="n">
        <f aca="false">Z17/50000</f>
        <v>0.0857</v>
      </c>
      <c r="AA18" s="1" t="n">
        <f aca="false">AA17/50000</f>
        <v>0.09522</v>
      </c>
      <c r="AB18" s="1" t="n">
        <f aca="false">AB17/50000</f>
        <v>0.07142</v>
      </c>
      <c r="AC18" s="1" t="n">
        <f aca="false">AC17/50000</f>
        <v>0.07618</v>
      </c>
      <c r="AD18" s="1" t="n">
        <f aca="false">AD17/50000</f>
        <v>0.09046</v>
      </c>
      <c r="AE18" s="1" t="n">
        <f aca="false">AE17/50000</f>
        <v>0.08094</v>
      </c>
      <c r="AF18" s="1" t="n">
        <f aca="false">AF17/50000</f>
        <v>0.08092</v>
      </c>
      <c r="AG18" s="1" t="n">
        <f aca="false">AG17/50000</f>
        <v>0.05238</v>
      </c>
      <c r="AH18" s="1" t="n">
        <f aca="false">AH17/50000</f>
        <v>0.06666</v>
      </c>
      <c r="AI18" s="1" t="n">
        <f aca="false">AI17/50000</f>
        <v>0.0476</v>
      </c>
      <c r="AJ18" s="1" t="n">
        <f aca="false">AJ17/50000</f>
        <v>0.05714</v>
      </c>
      <c r="AK18" s="1" t="n">
        <f aca="false">AK17/50000</f>
        <v>0.0524</v>
      </c>
      <c r="AL18" s="1" t="n">
        <f aca="false">AL17/50000</f>
        <v>0.01358</v>
      </c>
      <c r="AM18" s="1" t="n">
        <f aca="false">AM17/50000</f>
        <v>0.0138</v>
      </c>
      <c r="AN18" s="1" t="n">
        <f aca="false">AN17/50000</f>
        <v>0.00604</v>
      </c>
    </row>
    <row r="19" customFormat="false" ht="16.5" hidden="false" customHeight="false" outlineLevel="0" collapsed="false">
      <c r="W19" s="1" t="s">
        <v>8</v>
      </c>
    </row>
    <row r="20" customFormat="false" ht="16.5" hidden="false" customHeight="false" outlineLevel="0" collapsed="false">
      <c r="W20" s="1" t="s">
        <v>7</v>
      </c>
      <c r="X20" s="1" t="n">
        <v>16</v>
      </c>
    </row>
    <row r="21" customFormat="false" ht="16.5" hidden="false" customHeight="false" outlineLevel="0" collapsed="false">
      <c r="X21" s="1" t="n">
        <v>6664</v>
      </c>
      <c r="Y21" s="1" t="n">
        <v>3571</v>
      </c>
      <c r="Z21" s="1" t="n">
        <v>4047</v>
      </c>
      <c r="AA21" s="1" t="n">
        <v>4523</v>
      </c>
      <c r="AB21" s="1" t="n">
        <v>3333</v>
      </c>
      <c r="AC21" s="1" t="n">
        <v>4761</v>
      </c>
      <c r="AD21" s="1" t="n">
        <v>4285</v>
      </c>
      <c r="AE21" s="1" t="n">
        <v>2380</v>
      </c>
      <c r="AF21" s="1" t="n">
        <v>2857</v>
      </c>
      <c r="AG21" s="1" t="n">
        <v>3809</v>
      </c>
      <c r="AH21" s="1" t="n">
        <v>3095</v>
      </c>
      <c r="AI21" s="1" t="n">
        <v>1904</v>
      </c>
      <c r="AJ21" s="1" t="n">
        <v>2619</v>
      </c>
      <c r="AK21" s="1" t="n">
        <v>889</v>
      </c>
      <c r="AL21" s="1" t="n">
        <v>844</v>
      </c>
      <c r="AM21" s="1" t="n">
        <v>409</v>
      </c>
    </row>
    <row r="22" customFormat="false" ht="13.8" hidden="false" customHeight="false" outlineLevel="0" collapsed="false">
      <c r="X22" s="1" t="n">
        <f aca="false">X21/50000</f>
        <v>0.13328</v>
      </c>
      <c r="Y22" s="1" t="n">
        <f aca="false">Y21/50000</f>
        <v>0.07142</v>
      </c>
      <c r="Z22" s="1" t="n">
        <f aca="false">Z21/50000</f>
        <v>0.08094</v>
      </c>
      <c r="AA22" s="1" t="n">
        <f aca="false">AA21/50000</f>
        <v>0.09046</v>
      </c>
      <c r="AB22" s="1" t="n">
        <f aca="false">AB21/50000</f>
        <v>0.06666</v>
      </c>
      <c r="AC22" s="1" t="n">
        <f aca="false">AC21/50000</f>
        <v>0.09522</v>
      </c>
      <c r="AD22" s="1" t="n">
        <f aca="false">AD21/50000</f>
        <v>0.0857</v>
      </c>
      <c r="AE22" s="1" t="n">
        <f aca="false">AE21/50000</f>
        <v>0.0476</v>
      </c>
      <c r="AF22" s="1" t="n">
        <f aca="false">AF21/50000</f>
        <v>0.05714</v>
      </c>
      <c r="AG22" s="1" t="n">
        <f aca="false">AG21/50000</f>
        <v>0.07618</v>
      </c>
      <c r="AH22" s="1" t="n">
        <f aca="false">AH21/50000</f>
        <v>0.0619</v>
      </c>
      <c r="AI22" s="1" t="n">
        <f aca="false">AI21/50000</f>
        <v>0.03808</v>
      </c>
      <c r="AJ22" s="1" t="n">
        <f aca="false">AJ21/50000</f>
        <v>0.05238</v>
      </c>
      <c r="AK22" s="1" t="n">
        <f aca="false">AK21/50000</f>
        <v>0.01778</v>
      </c>
      <c r="AL22" s="1" t="n">
        <f aca="false">AL21/50000</f>
        <v>0.01688</v>
      </c>
      <c r="AM22" s="1" t="n">
        <f aca="false">AM21/50000</f>
        <v>0.00818</v>
      </c>
    </row>
    <row r="26" customFormat="false" ht="29.85" hidden="false" customHeight="true" outlineLevel="0" collapsed="false">
      <c r="A26" s="3" t="s">
        <v>9</v>
      </c>
      <c r="B26" s="3"/>
      <c r="C26" s="4" t="s">
        <v>10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customFormat="false" ht="13.8" hidden="false" customHeight="false" outlineLevel="0" collapsed="false">
      <c r="A27" s="3"/>
      <c r="B27" s="3"/>
      <c r="C27" s="5" t="n">
        <v>0.13328</v>
      </c>
      <c r="D27" s="5" t="n">
        <v>0.07142</v>
      </c>
      <c r="E27" s="5" t="n">
        <v>0.08094</v>
      </c>
      <c r="F27" s="5" t="n">
        <v>0.09046</v>
      </c>
      <c r="G27" s="5" t="n">
        <v>0.06666</v>
      </c>
      <c r="H27" s="5" t="n">
        <v>0.09522</v>
      </c>
      <c r="I27" s="5" t="n">
        <v>0.0857</v>
      </c>
      <c r="J27" s="5" t="n">
        <v>0.0476</v>
      </c>
      <c r="K27" s="5" t="n">
        <v>0.05714</v>
      </c>
      <c r="L27" s="5" t="n">
        <v>0.07618</v>
      </c>
      <c r="M27" s="5" t="n">
        <v>0.0619</v>
      </c>
      <c r="N27" s="5" t="n">
        <v>0.03808</v>
      </c>
      <c r="O27" s="5" t="n">
        <v>0.05238</v>
      </c>
      <c r="P27" s="5" t="n">
        <v>0.01778</v>
      </c>
      <c r="Q27" s="5" t="n">
        <v>0.01688</v>
      </c>
      <c r="R27" s="5" t="n">
        <v>0.00818</v>
      </c>
    </row>
    <row r="28" customFormat="false" ht="13.8" hidden="false" customHeight="true" outlineLevel="0" collapsed="false">
      <c r="A28" s="3" t="s">
        <v>11</v>
      </c>
      <c r="B28" s="5" t="n">
        <v>0.04746</v>
      </c>
      <c r="C28" s="1" t="n">
        <v>0.086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6" t="n">
        <v>0</v>
      </c>
    </row>
    <row r="29" customFormat="false" ht="13.8" hidden="false" customHeight="false" outlineLevel="0" collapsed="false">
      <c r="A29" s="3"/>
      <c r="B29" s="5" t="n">
        <v>0.0619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0.8</v>
      </c>
      <c r="N29" s="1" t="n">
        <v>0</v>
      </c>
      <c r="O29" s="1" t="n">
        <v>0</v>
      </c>
      <c r="P29" s="1" t="n">
        <v>0</v>
      </c>
      <c r="Q29" s="1" t="n">
        <v>0</v>
      </c>
      <c r="R29" s="6" t="n">
        <v>0</v>
      </c>
    </row>
    <row r="30" customFormat="false" ht="13.8" hidden="false" customHeight="false" outlineLevel="0" collapsed="false">
      <c r="A30" s="3"/>
      <c r="B30" s="5" t="n">
        <v>0.0857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0.8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6" t="n">
        <v>0</v>
      </c>
    </row>
    <row r="31" customFormat="false" ht="13.8" hidden="false" customHeight="false" outlineLevel="0" collapsed="false">
      <c r="A31" s="3"/>
      <c r="B31" s="5" t="n">
        <v>0.09522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0.8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6" t="n">
        <v>0</v>
      </c>
    </row>
    <row r="32" customFormat="false" ht="13.8" hidden="false" customHeight="false" outlineLevel="0" collapsed="false">
      <c r="A32" s="3"/>
      <c r="B32" s="5" t="n">
        <v>0.07142</v>
      </c>
      <c r="C32" s="1" t="n">
        <v>0</v>
      </c>
      <c r="D32" s="1" t="n">
        <v>0.8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6" t="n">
        <v>0</v>
      </c>
    </row>
    <row r="33" customFormat="false" ht="13.8" hidden="false" customHeight="false" outlineLevel="0" collapsed="false">
      <c r="A33" s="3"/>
      <c r="B33" s="5" t="n">
        <v>0.07618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0.8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6" t="n">
        <v>0</v>
      </c>
    </row>
    <row r="34" customFormat="false" ht="13.8" hidden="false" customHeight="false" outlineLevel="0" collapsed="false">
      <c r="A34" s="3"/>
      <c r="B34" s="5" t="n">
        <v>0.09046</v>
      </c>
      <c r="C34" s="1" t="n">
        <v>0</v>
      </c>
      <c r="D34" s="1" t="n">
        <v>0</v>
      </c>
      <c r="E34" s="1" t="n">
        <v>0</v>
      </c>
      <c r="F34" s="1" t="n">
        <v>0.8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6" t="n">
        <v>0</v>
      </c>
    </row>
    <row r="35" customFormat="false" ht="13.8" hidden="false" customHeight="false" outlineLevel="0" collapsed="false">
      <c r="A35" s="3"/>
      <c r="B35" s="5" t="n">
        <v>0.08094</v>
      </c>
      <c r="C35" s="1" t="n">
        <v>0</v>
      </c>
      <c r="D35" s="1" t="n">
        <v>0</v>
      </c>
      <c r="E35" s="1" t="n">
        <v>0.8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6" t="n">
        <v>0</v>
      </c>
    </row>
    <row r="36" customFormat="false" ht="13.8" hidden="false" customHeight="false" outlineLevel="0" collapsed="false">
      <c r="A36" s="3"/>
      <c r="B36" s="5" t="n">
        <v>0.08092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0.376</v>
      </c>
      <c r="O36" s="1" t="n">
        <v>0</v>
      </c>
      <c r="P36" s="1" t="n">
        <v>0.419</v>
      </c>
      <c r="Q36" s="1" t="n">
        <v>0.425</v>
      </c>
      <c r="R36" s="6" t="n">
        <v>0.43</v>
      </c>
    </row>
    <row r="37" customFormat="false" ht="13.8" hidden="false" customHeight="false" outlineLevel="0" collapsed="false">
      <c r="A37" s="3"/>
      <c r="B37" s="5" t="n">
        <v>0.05238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0.8</v>
      </c>
      <c r="P37" s="1" t="n">
        <v>0</v>
      </c>
      <c r="Q37" s="1" t="n">
        <v>0</v>
      </c>
      <c r="R37" s="6" t="n">
        <v>0</v>
      </c>
    </row>
    <row r="38" customFormat="false" ht="13.8" hidden="false" customHeight="false" outlineLevel="0" collapsed="false">
      <c r="A38" s="3"/>
      <c r="B38" s="5" t="n">
        <v>0.06666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0.8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6" t="n">
        <v>0</v>
      </c>
    </row>
    <row r="39" customFormat="false" ht="13.8" hidden="false" customHeight="false" outlineLevel="0" collapsed="false">
      <c r="A39" s="3"/>
      <c r="B39" s="5" t="n">
        <v>0.0476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0.8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6" t="n">
        <v>0</v>
      </c>
    </row>
    <row r="40" customFormat="false" ht="13.8" hidden="false" customHeight="false" outlineLevel="0" collapsed="false">
      <c r="A40" s="3"/>
      <c r="B40" s="5" t="n">
        <v>0.05714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0.8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6" t="n">
        <v>0</v>
      </c>
    </row>
    <row r="41" customFormat="false" ht="13.8" hidden="false" customHeight="false" outlineLevel="0" collapsed="false">
      <c r="A41" s="3"/>
      <c r="B41" s="5" t="n">
        <v>0.0524</v>
      </c>
      <c r="C41" s="1" t="n">
        <v>0.158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6" t="n">
        <v>0</v>
      </c>
    </row>
    <row r="42" customFormat="false" ht="13.8" hidden="false" customHeight="false" outlineLevel="0" collapsed="false">
      <c r="A42" s="3"/>
      <c r="B42" s="5" t="n">
        <v>0.01358</v>
      </c>
      <c r="C42" s="1" t="n">
        <v>0.197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6" t="n">
        <v>0</v>
      </c>
    </row>
    <row r="43" customFormat="false" ht="13.8" hidden="false" customHeight="false" outlineLevel="0" collapsed="false">
      <c r="A43" s="3"/>
      <c r="B43" s="5" t="n">
        <v>0.0138</v>
      </c>
      <c r="C43" s="1" t="n">
        <v>0.201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6" t="n">
        <v>0</v>
      </c>
    </row>
    <row r="44" customFormat="false" ht="13.8" hidden="false" customHeight="false" outlineLevel="0" collapsed="false">
      <c r="A44" s="3"/>
      <c r="B44" s="5" t="n">
        <v>0.00604</v>
      </c>
      <c r="C44" s="7" t="n">
        <v>0.204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8" t="n">
        <v>0</v>
      </c>
    </row>
    <row r="47" customFormat="false" ht="31.3" hidden="false" customHeight="true" outlineLevel="0" collapsed="false">
      <c r="A47" s="3" t="s">
        <v>12</v>
      </c>
      <c r="B47" s="3"/>
      <c r="C47" s="4" t="s">
        <v>10</v>
      </c>
      <c r="D47" s="4"/>
      <c r="E47" s="4"/>
      <c r="F47" s="4"/>
      <c r="G47" s="4"/>
      <c r="H47" s="4"/>
      <c r="I47" s="4"/>
      <c r="J47" s="4"/>
      <c r="K47" s="4"/>
      <c r="L47" s="4"/>
      <c r="M47" s="4"/>
    </row>
    <row r="48" customFormat="false" ht="13.8" hidden="false" customHeight="false" outlineLevel="0" collapsed="false">
      <c r="A48" s="3"/>
      <c r="B48" s="3"/>
      <c r="C48" s="5" t="n">
        <v>0.0952375</v>
      </c>
      <c r="D48" s="5" t="n">
        <v>0.4333175</v>
      </c>
      <c r="E48" s="5" t="n">
        <v>0.15714</v>
      </c>
      <c r="F48" s="5" t="n">
        <v>0.0857125</v>
      </c>
      <c r="G48" s="5" t="n">
        <v>0.1380925</v>
      </c>
      <c r="H48" s="5" t="n">
        <v>0.03076</v>
      </c>
      <c r="I48" s="5" t="n">
        <v>0.03469</v>
      </c>
      <c r="J48" s="5" t="n">
        <v>0.0165675</v>
      </c>
      <c r="K48" s="5" t="n">
        <v>0.001365</v>
      </c>
      <c r="L48" s="5" t="n">
        <v>0.005945</v>
      </c>
      <c r="M48" s="5" t="n">
        <v>0.0011475</v>
      </c>
    </row>
    <row r="49" customFormat="false" ht="13.8" hidden="false" customHeight="true" outlineLevel="0" collapsed="false">
      <c r="A49" s="3" t="s">
        <v>13</v>
      </c>
      <c r="B49" s="5" t="n">
        <v>0.0949775</v>
      </c>
      <c r="C49" s="1" t="n">
        <v>0</v>
      </c>
      <c r="D49" s="1" t="n">
        <v>0.037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6" t="n">
        <v>0</v>
      </c>
      <c r="N49" s="0"/>
    </row>
    <row r="50" customFormat="false" ht="13.8" hidden="false" customHeight="false" outlineLevel="0" collapsed="false">
      <c r="A50" s="3"/>
      <c r="B50" s="5" t="n">
        <v>0.1380925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0.4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6" t="n">
        <v>0</v>
      </c>
      <c r="N50" s="0"/>
      <c r="R50" s="1" t="s">
        <v>6</v>
      </c>
    </row>
    <row r="51" customFormat="false" ht="13.8" hidden="false" customHeight="false" outlineLevel="0" collapsed="false">
      <c r="A51" s="3"/>
      <c r="B51" s="5" t="n">
        <v>0.0952375</v>
      </c>
      <c r="C51" s="1" t="n">
        <v>0.8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6" t="n">
        <v>0</v>
      </c>
      <c r="N51" s="0"/>
      <c r="R51" s="1" t="s">
        <v>7</v>
      </c>
      <c r="S51" s="1" t="n">
        <v>13</v>
      </c>
    </row>
    <row r="52" customFormat="false" ht="13.8" hidden="false" customHeight="false" outlineLevel="0" collapsed="false">
      <c r="A52" s="3"/>
      <c r="B52" s="5" t="n">
        <v>0.1761875</v>
      </c>
      <c r="C52" s="1" t="n">
        <v>0</v>
      </c>
      <c r="D52" s="1" t="n">
        <v>0</v>
      </c>
      <c r="E52" s="1" t="n">
        <v>0</v>
      </c>
      <c r="F52" s="1" t="n">
        <v>0.389</v>
      </c>
      <c r="G52" s="1" t="n">
        <v>0</v>
      </c>
      <c r="H52" s="1" t="n">
        <v>0.41</v>
      </c>
      <c r="I52" s="1" t="n">
        <v>0.411</v>
      </c>
      <c r="J52" s="1" t="n">
        <v>0.412</v>
      </c>
      <c r="K52" s="1" t="n">
        <v>0.413</v>
      </c>
      <c r="L52" s="1" t="n">
        <v>0.412</v>
      </c>
      <c r="M52" s="6" t="n">
        <v>0.414</v>
      </c>
      <c r="N52" s="0"/>
      <c r="S52" s="1" t="n">
        <v>37991</v>
      </c>
      <c r="T52" s="1" t="n">
        <v>55237</v>
      </c>
      <c r="U52" s="1" t="n">
        <v>38095</v>
      </c>
      <c r="V52" s="1" t="n">
        <v>70475</v>
      </c>
      <c r="W52" s="1" t="n">
        <v>62856</v>
      </c>
      <c r="X52" s="1" t="n">
        <v>48491</v>
      </c>
      <c r="Y52" s="1" t="n">
        <v>47719</v>
      </c>
      <c r="Z52" s="1" t="n">
        <v>9660</v>
      </c>
      <c r="AA52" s="1" t="n">
        <v>22715</v>
      </c>
      <c r="AB52" s="1" t="n">
        <v>4549</v>
      </c>
      <c r="AC52" s="1" t="n">
        <v>350</v>
      </c>
      <c r="AD52" s="1" t="n">
        <v>1534</v>
      </c>
      <c r="AE52" s="1" t="n">
        <v>318</v>
      </c>
    </row>
    <row r="53" customFormat="false" ht="13.8" hidden="false" customHeight="false" outlineLevel="0" collapsed="false">
      <c r="A53" s="3"/>
      <c r="B53" s="5" t="n">
        <v>0.15714</v>
      </c>
      <c r="C53" s="1" t="n">
        <v>0</v>
      </c>
      <c r="D53" s="1" t="n">
        <v>0</v>
      </c>
      <c r="E53" s="1" t="n">
        <v>0.4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6" t="n">
        <v>0</v>
      </c>
      <c r="N53" s="0"/>
      <c r="S53" s="1" t="n">
        <f aca="false">S52/400000</f>
        <v>0.0949775</v>
      </c>
      <c r="T53" s="1" t="n">
        <f aca="false">T52/400000</f>
        <v>0.1380925</v>
      </c>
      <c r="U53" s="1" t="n">
        <f aca="false">U52/400000</f>
        <v>0.0952375</v>
      </c>
      <c r="V53" s="1" t="n">
        <f aca="false">V52/400000</f>
        <v>0.1761875</v>
      </c>
      <c r="W53" s="1" t="n">
        <f aca="false">W52/400000</f>
        <v>0.15714</v>
      </c>
      <c r="X53" s="1" t="n">
        <f aca="false">X52/400000</f>
        <v>0.1212275</v>
      </c>
      <c r="Y53" s="1" t="n">
        <f aca="false">Y52/400000</f>
        <v>0.1192975</v>
      </c>
      <c r="Z53" s="1" t="n">
        <f aca="false">Z52/400000</f>
        <v>0.02415</v>
      </c>
      <c r="AA53" s="1" t="n">
        <f aca="false">AA52/400000</f>
        <v>0.0567875</v>
      </c>
      <c r="AB53" s="1" t="n">
        <f aca="false">AB52/400000</f>
        <v>0.0113725</v>
      </c>
      <c r="AC53" s="1" t="n">
        <f aca="false">AC52/400000</f>
        <v>0.000875</v>
      </c>
      <c r="AD53" s="1" t="n">
        <f aca="false">AD52/400000</f>
        <v>0.003835</v>
      </c>
      <c r="AE53" s="1" t="n">
        <f aca="false">AE52/400000</f>
        <v>0.000795</v>
      </c>
    </row>
    <row r="54" customFormat="false" ht="13.8" hidden="false" customHeight="false" outlineLevel="0" collapsed="false">
      <c r="A54" s="3"/>
      <c r="B54" s="5" t="n">
        <v>0.1212275</v>
      </c>
      <c r="C54" s="1" t="n">
        <v>0</v>
      </c>
      <c r="D54" s="1" t="n">
        <v>0.095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6" t="n">
        <v>0</v>
      </c>
      <c r="N54" s="0"/>
      <c r="R54" s="1" t="s">
        <v>8</v>
      </c>
    </row>
    <row r="55" customFormat="false" ht="13.8" hidden="false" customHeight="false" outlineLevel="0" collapsed="false">
      <c r="A55" s="3"/>
      <c r="B55" s="5" t="n">
        <v>0.1192975</v>
      </c>
      <c r="C55" s="1" t="n">
        <v>0</v>
      </c>
      <c r="D55" s="1" t="n">
        <v>0.07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6" t="n">
        <v>0</v>
      </c>
      <c r="N55" s="0"/>
      <c r="R55" s="1" t="s">
        <v>7</v>
      </c>
      <c r="S55" s="1" t="n">
        <v>11</v>
      </c>
    </row>
    <row r="56" customFormat="false" ht="13.8" hidden="false" customHeight="false" outlineLevel="0" collapsed="false">
      <c r="A56" s="3"/>
      <c r="B56" s="5" t="n">
        <v>0.02415</v>
      </c>
      <c r="C56" s="1" t="n">
        <v>0</v>
      </c>
      <c r="D56" s="1" t="n">
        <v>0.114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6" t="n">
        <v>0</v>
      </c>
      <c r="N56" s="0"/>
      <c r="S56" s="1" t="n">
        <v>38095</v>
      </c>
      <c r="T56" s="1" t="n">
        <v>173327</v>
      </c>
      <c r="U56" s="1" t="n">
        <v>62856</v>
      </c>
      <c r="V56" s="1" t="n">
        <v>34285</v>
      </c>
      <c r="W56" s="1" t="n">
        <v>55237</v>
      </c>
      <c r="X56" s="1" t="n">
        <v>12304</v>
      </c>
      <c r="Y56" s="1" t="n">
        <v>13876</v>
      </c>
      <c r="Z56" s="1" t="n">
        <v>6627</v>
      </c>
      <c r="AA56" s="1" t="n">
        <v>546</v>
      </c>
      <c r="AB56" s="1" t="n">
        <v>2378</v>
      </c>
      <c r="AC56" s="1" t="n">
        <v>459</v>
      </c>
    </row>
    <row r="57" customFormat="false" ht="13.8" hidden="false" customHeight="false" outlineLevel="0" collapsed="false">
      <c r="A57" s="3"/>
      <c r="B57" s="5" t="n">
        <v>0.0567875</v>
      </c>
      <c r="C57" s="1" t="n">
        <v>0</v>
      </c>
      <c r="D57" s="1" t="n">
        <v>0.109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6" t="n">
        <v>0</v>
      </c>
      <c r="N57" s="0"/>
      <c r="S57" s="1" t="n">
        <f aca="false">S56/400000</f>
        <v>0.0952375</v>
      </c>
      <c r="T57" s="1" t="n">
        <f aca="false">T56/400000</f>
        <v>0.4333175</v>
      </c>
      <c r="U57" s="1" t="n">
        <f aca="false">U56/400000</f>
        <v>0.15714</v>
      </c>
      <c r="V57" s="1" t="n">
        <f aca="false">V56/400000</f>
        <v>0.0857125</v>
      </c>
      <c r="W57" s="1" t="n">
        <f aca="false">W56/400000</f>
        <v>0.1380925</v>
      </c>
      <c r="X57" s="1" t="n">
        <f aca="false">X56/400000</f>
        <v>0.03076</v>
      </c>
      <c r="Y57" s="1" t="n">
        <f aca="false">Y56/400000</f>
        <v>0.03469</v>
      </c>
      <c r="Z57" s="1" t="n">
        <f aca="false">Z56/400000</f>
        <v>0.0165675</v>
      </c>
      <c r="AA57" s="1" t="n">
        <f aca="false">AA56/400000</f>
        <v>0.001365</v>
      </c>
      <c r="AB57" s="1" t="n">
        <f aca="false">AB56/400000</f>
        <v>0.005945</v>
      </c>
      <c r="AC57" s="1" t="n">
        <f aca="false">AC56/400000</f>
        <v>0.0011475</v>
      </c>
      <c r="AD57" s="1" t="n">
        <f aca="false">AD56/400000</f>
        <v>0</v>
      </c>
      <c r="AE57" s="1" t="n">
        <f aca="false">AE56/400000</f>
        <v>0</v>
      </c>
    </row>
    <row r="58" customFormat="false" ht="13.8" hidden="false" customHeight="false" outlineLevel="0" collapsed="false">
      <c r="A58" s="3"/>
      <c r="B58" s="5" t="n">
        <v>0.0113725</v>
      </c>
      <c r="C58" s="1" t="n">
        <v>0</v>
      </c>
      <c r="D58" s="1" t="n">
        <v>0.115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6" t="n">
        <v>0</v>
      </c>
      <c r="N58" s="0"/>
    </row>
    <row r="59" customFormat="false" ht="13.8" hidden="false" customHeight="false" outlineLevel="0" collapsed="false">
      <c r="A59" s="3"/>
      <c r="B59" s="5" t="n">
        <v>0.000875</v>
      </c>
      <c r="C59" s="1" t="n">
        <v>0</v>
      </c>
      <c r="D59" s="1" t="n">
        <v>0.115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6" t="n">
        <v>0</v>
      </c>
      <c r="N59" s="0"/>
    </row>
    <row r="60" customFormat="false" ht="13.8" hidden="false" customHeight="false" outlineLevel="0" collapsed="false">
      <c r="A60" s="3"/>
      <c r="B60" s="5" t="n">
        <v>0.003835</v>
      </c>
      <c r="C60" s="1" t="n">
        <v>0</v>
      </c>
      <c r="D60" s="1" t="n">
        <v>0.115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6" t="n">
        <v>0</v>
      </c>
      <c r="N60" s="0"/>
    </row>
    <row r="61" customFormat="false" ht="13.8" hidden="false" customHeight="false" outlineLevel="0" collapsed="false">
      <c r="A61" s="3"/>
      <c r="B61" s="5" t="n">
        <v>0.000795</v>
      </c>
      <c r="C61" s="7" t="n">
        <v>0</v>
      </c>
      <c r="D61" s="7" t="n">
        <v>0.115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8" t="n">
        <v>0</v>
      </c>
      <c r="N61" s="0"/>
    </row>
  </sheetData>
  <mergeCells count="6">
    <mergeCell ref="A26:B27"/>
    <mergeCell ref="C26:R26"/>
    <mergeCell ref="A28:A44"/>
    <mergeCell ref="A47:B48"/>
    <mergeCell ref="C47:M47"/>
    <mergeCell ref="A49:A6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LibreOffice/4.2.7.2$Linux_X86_64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2015-03-14T07:19:20Z</dcterms:created>
  <dc:creator>InJae</dc:creator>
  <dc:language>ko-KR</dc:language>
  <cp:lastModifiedBy>InJae</cp:lastModifiedBy>
  <dcterms:modified xsi:type="dcterms:W3CDTF">2015-03-14T08:03:14Z</dcterms:modified>
  <cp:revision>0</cp:revision>
</cp:coreProperties>
</file>